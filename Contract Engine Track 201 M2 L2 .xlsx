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s" sheetId="1" r:id="rId5"/>
    <sheet state="hidden" name="Reference Table" sheetId="2" r:id="rId6"/>
    <sheet state="hidden" name="Agent Dashboard" sheetId="3" r:id="rId7"/>
    <sheet state="hidden" name="RNGLog" sheetId="4" r:id="rId8"/>
  </sheets>
  <definedNames/>
  <calcPr/>
</workbook>
</file>

<file path=xl/sharedStrings.xml><?xml version="1.0" encoding="utf-8"?>
<sst xmlns="http://schemas.openxmlformats.org/spreadsheetml/2006/main" count="88" uniqueCount="55">
  <si>
    <t>Scenario #</t>
  </si>
  <si>
    <t>Player Type</t>
  </si>
  <si>
    <t>Base Guaranteed ($M)</t>
  </si>
  <si>
    <t>Total Contract Value ($M)</t>
  </si>
  <si>
    <t>Added Incentives ($M)</t>
  </si>
  <si>
    <t>Risk Factor</t>
  </si>
  <si>
    <t>Expected Value</t>
  </si>
  <si>
    <t>Offer Summary</t>
  </si>
  <si>
    <t>Agent Decision</t>
  </si>
  <si>
    <t>Outcome</t>
  </si>
  <si>
    <t>Rating</t>
  </si>
  <si>
    <t>Feedback</t>
  </si>
  <si>
    <t>Agent-Assessed Player Value ($M)</t>
  </si>
  <si>
    <t>Perceived Undervaluation (%)</t>
  </si>
  <si>
    <t>Rising Star</t>
  </si>
  <si>
    <t>STARTING</t>
  </si>
  <si>
    <t>Veteran</t>
  </si>
  <si>
    <t>Rookie</t>
  </si>
  <si>
    <t>Aging Star</t>
  </si>
  <si>
    <t>Superstar</t>
  </si>
  <si>
    <t>Underdog</t>
  </si>
  <si>
    <t>Role Player</t>
  </si>
  <si>
    <t>Keep refining your risk strategy to improve your rating.</t>
  </si>
  <si>
    <t>— No Claim Code —</t>
  </si>
  <si>
    <t>Risk</t>
  </si>
  <si>
    <t>Description</t>
  </si>
  <si>
    <t>High upside, mid-risk</t>
  </si>
  <si>
    <t>Reliable</t>
  </si>
  <si>
    <t>High potential</t>
  </si>
  <si>
    <t>Injury Risk</t>
  </si>
  <si>
    <t>Injury prone</t>
  </si>
  <si>
    <t>Big leverage</t>
  </si>
  <si>
    <t>Risk/reward</t>
  </si>
  <si>
    <t>Decline years</t>
  </si>
  <si>
    <t>Consistent</t>
  </si>
  <si>
    <t>Metric</t>
  </si>
  <si>
    <t>Formula / Script Interaction</t>
  </si>
  <si>
    <t>Avg Result</t>
  </si>
  <si>
    <t>Gold Deals</t>
  </si>
  <si>
    <t>Silver Deals</t>
  </si>
  <si>
    <t>Bronze Deals</t>
  </si>
  <si>
    <t>Final Claim Code</t>
  </si>
  <si>
    <t>No Claim Code – Improve Performance</t>
  </si>
  <si>
    <t>Status</t>
  </si>
  <si>
    <t>Complete ❌</t>
  </si>
  <si>
    <t>Injury Seed</t>
  </si>
  <si>
    <t>Performance Seed</t>
  </si>
  <si>
    <t>Injury Result</t>
  </si>
  <si>
    <t>Incentive Earned</t>
  </si>
  <si>
    <t>Final Earnings</t>
  </si>
  <si>
    <t>TIMESTAMP</t>
  </si>
  <si>
    <t>Script Status</t>
  </si>
  <si>
    <t>Healthy</t>
  </si>
  <si>
    <t>Processed ✅</t>
  </si>
  <si>
    <t>Cut/Injured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</si>
</sst>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2.0"/>
      <color rgb="FF000000"/>
      <name val="Arial"/>
      <scheme val="minor"/>
    </font>
    <font>
      <sz val="11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3" fontId="5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13</xdr:row>
      <xdr:rowOff>161925</xdr:rowOff>
    </xdr:from>
    <xdr:ext cx="2305050" cy="809625"/>
    <xdr:sp>
      <xdr:nvSpPr>
        <xdr:cNvPr id="3" name="Shape 3"/>
        <xdr:cNvSpPr/>
      </xdr:nvSpPr>
      <xdr:spPr>
        <a:xfrm>
          <a:off x="1892325" y="1227525"/>
          <a:ext cx="3998400" cy="13929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▶️ Run Simulation</a:t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4" max="4" width="24.75"/>
    <col customWidth="1" min="5" max="5" width="26.0"/>
    <col customWidth="1" min="7" max="7" width="19.0"/>
    <col customWidth="1" min="8" max="8" width="109.38"/>
    <col customWidth="1" min="9" max="9" width="15.5"/>
    <col customWidth="1" min="10" max="10" width="20.25"/>
    <col customWidth="1" min="12" max="12" width="108.38"/>
    <col customWidth="1" min="13" max="13" width="33.63"/>
    <col customWidth="1" min="14" max="14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/>
      <c r="P1" s="3"/>
    </row>
    <row r="2">
      <c r="A2" s="4">
        <v>1.0</v>
      </c>
      <c r="B2" s="4" t="s">
        <v>14</v>
      </c>
      <c r="C2" s="4">
        <v>75.0</v>
      </c>
      <c r="D2" s="4">
        <v>105.0</v>
      </c>
      <c r="E2" s="4">
        <v>30.0</v>
      </c>
      <c r="F2" s="4">
        <v>0.25</v>
      </c>
      <c r="G2" s="5">
        <f t="shared" ref="G2:G9" si="1">C2+(E2*(1-F2))</f>
        <v>97.5</v>
      </c>
      <c r="H2" s="6" t="str">
        <f t="shared" ref="H2:H6" si="2">IF(OR(C2="",D2="",E2=""),"",
"Team offer: $"&amp;C2&amp;"M base + $"&amp;E2&amp;"M incentives. Your model values player at $"&amp;M2&amp;
"M. "&amp;IF(M2&gt;C2+E2,"Below agent valuation — potential undervalue.",
IF(M2&lt;C2+E2,"Above valuation — solid deal opportunity.","Right on target.")))
</f>
        <v>Team offer: $75M base + $30M incentives. Your model values player at $111M. Below agent valuation — potential undervalue.</v>
      </c>
      <c r="I2" s="6" t="s">
        <v>15</v>
      </c>
      <c r="J2" s="3"/>
      <c r="K2" s="7"/>
      <c r="L2" s="3"/>
      <c r="M2" s="8">
        <v>111.0</v>
      </c>
      <c r="N2" s="9">
        <f t="shared" ref="N2:N5" si="3">ROUND((M2 - D2)/D2*100,1)</f>
        <v>5.7</v>
      </c>
    </row>
    <row r="3">
      <c r="A3" s="4">
        <v>2.0</v>
      </c>
      <c r="B3" s="4" t="s">
        <v>16</v>
      </c>
      <c r="C3" s="4">
        <v>80.0</v>
      </c>
      <c r="D3" s="4">
        <v>100.0</v>
      </c>
      <c r="E3" s="4">
        <v>20.0</v>
      </c>
      <c r="F3" s="4">
        <v>0.15</v>
      </c>
      <c r="G3" s="5">
        <f t="shared" si="1"/>
        <v>97</v>
      </c>
      <c r="H3" s="6" t="str">
        <f t="shared" si="2"/>
        <v>Team offer: $80M base + $20M incentives. Your model values player at $100M. Right on target.</v>
      </c>
      <c r="I3" s="6" t="s">
        <v>15</v>
      </c>
      <c r="J3" s="3"/>
      <c r="K3" s="10"/>
      <c r="L3" s="4"/>
      <c r="M3" s="8">
        <v>100.0</v>
      </c>
      <c r="N3" s="9">
        <f t="shared" si="3"/>
        <v>0</v>
      </c>
    </row>
    <row r="4">
      <c r="A4" s="4">
        <v>3.0</v>
      </c>
      <c r="B4" s="4" t="s">
        <v>17</v>
      </c>
      <c r="C4" s="4">
        <v>55.0</v>
      </c>
      <c r="D4" s="4">
        <v>95.0</v>
      </c>
      <c r="E4" s="4">
        <v>40.0</v>
      </c>
      <c r="F4" s="4">
        <v>0.3</v>
      </c>
      <c r="G4" s="5">
        <f t="shared" si="1"/>
        <v>83</v>
      </c>
      <c r="H4" s="6" t="str">
        <f t="shared" si="2"/>
        <v>Team offer: $55M base + $40M incentives. Your model values player at $87M. Above valuation — solid deal opportunity.</v>
      </c>
      <c r="I4" s="6" t="s">
        <v>15</v>
      </c>
      <c r="J4" s="3"/>
      <c r="K4" s="10"/>
      <c r="L4" s="4"/>
      <c r="M4" s="8">
        <v>87.0</v>
      </c>
      <c r="N4" s="9">
        <f t="shared" si="3"/>
        <v>-8.4</v>
      </c>
    </row>
    <row r="5">
      <c r="A5" s="4">
        <v>4.0</v>
      </c>
      <c r="B5" s="4" t="s">
        <v>18</v>
      </c>
      <c r="C5" s="4">
        <v>50.0</v>
      </c>
      <c r="D5" s="4">
        <v>70.0</v>
      </c>
      <c r="E5" s="4">
        <v>20.0</v>
      </c>
      <c r="F5" s="4">
        <v>0.4</v>
      </c>
      <c r="G5" s="5">
        <f t="shared" si="1"/>
        <v>62</v>
      </c>
      <c r="H5" s="6" t="str">
        <f t="shared" si="2"/>
        <v>Team offer: $50M base + $20M incentives. Your model values player at $69M. Above valuation — solid deal opportunity.</v>
      </c>
      <c r="I5" s="6" t="s">
        <v>15</v>
      </c>
      <c r="J5" s="3"/>
      <c r="K5" s="10"/>
      <c r="L5" s="8"/>
      <c r="M5" s="8">
        <v>69.0</v>
      </c>
      <c r="N5" s="9">
        <f t="shared" si="3"/>
        <v>-1.4</v>
      </c>
    </row>
    <row r="6">
      <c r="A6" s="11">
        <v>5.0</v>
      </c>
      <c r="B6" s="4" t="s">
        <v>19</v>
      </c>
      <c r="C6" s="4">
        <v>110.0</v>
      </c>
      <c r="D6" s="8">
        <v>135.0</v>
      </c>
      <c r="E6" s="4">
        <v>25.0</v>
      </c>
      <c r="F6" s="4">
        <v>0.1</v>
      </c>
      <c r="G6" s="5">
        <f t="shared" si="1"/>
        <v>132.5</v>
      </c>
      <c r="H6" s="6" t="str">
        <f t="shared" si="2"/>
        <v>Team offer: $110M base + $25M incentives. Your model values player at $145M. Below agent valuation — potential undervalue.</v>
      </c>
      <c r="I6" s="6" t="s">
        <v>15</v>
      </c>
      <c r="J6" s="8"/>
      <c r="K6" s="10"/>
      <c r="L6" s="8"/>
      <c r="M6" s="8">
        <v>145.0</v>
      </c>
    </row>
    <row r="7">
      <c r="A7" s="11">
        <v>6.0</v>
      </c>
      <c r="B7" s="4" t="s">
        <v>20</v>
      </c>
      <c r="C7" s="4">
        <v>45.0</v>
      </c>
      <c r="D7" s="8">
        <v>95.0</v>
      </c>
      <c r="E7" s="4">
        <v>50.0</v>
      </c>
      <c r="F7" s="4">
        <v>0.35</v>
      </c>
      <c r="G7" s="5">
        <f t="shared" si="1"/>
        <v>77.5</v>
      </c>
      <c r="H7" s="6" t="str">
        <f>IF(OR(C7="",D7="",E7=""),"",
"Team offer: $"&amp;C7&amp;"M base + $"&amp;E7&amp;"M incentives. Your model values player at $"&amp;M6&amp;
"M. "&amp;IF(M7&gt;C7+E7,"Below agent valuation — potential undervalue.",
IF(M7&lt;C7+E7,"Above valuation — solid deal opportunity.","Right on target.")))
</f>
        <v>Team offer: $45M base + $50M incentives. Your model values player at $145M. Above valuation — solid deal opportunity.</v>
      </c>
      <c r="I7" s="6" t="s">
        <v>15</v>
      </c>
      <c r="J7" s="8"/>
      <c r="K7" s="10"/>
      <c r="L7" s="12"/>
      <c r="M7" s="8">
        <v>83.0</v>
      </c>
    </row>
    <row r="8">
      <c r="A8" s="11">
        <v>7.0</v>
      </c>
      <c r="B8" s="4" t="s">
        <v>18</v>
      </c>
      <c r="C8" s="4">
        <v>65.0</v>
      </c>
      <c r="D8" s="8">
        <v>90.0</v>
      </c>
      <c r="E8" s="4">
        <v>25.0</v>
      </c>
      <c r="F8" s="4">
        <v>0.3</v>
      </c>
      <c r="G8" s="5">
        <f t="shared" si="1"/>
        <v>82.5</v>
      </c>
      <c r="H8" s="6" t="str">
        <f t="shared" ref="H8:H9" si="4">IF(OR(C8="",D8="",E8=""),"",
"Team offer: $"&amp;C8&amp;"M base + $"&amp;E8&amp;"M incentives. Your model values player at $"&amp;M8&amp;
"M. "&amp;IF(M8&gt;C8+E8,"Below agent valuation — potential undervalue.",
IF(M8&lt;C8+E8,"Above valuation — solid deal opportunity.","Right on target.")))
</f>
        <v>Team offer: $65M base + $25M incentives. Your model values player at $70M. Above valuation — solid deal opportunity.</v>
      </c>
      <c r="I8" s="6" t="s">
        <v>15</v>
      </c>
      <c r="J8" s="8"/>
      <c r="K8" s="10"/>
      <c r="L8" s="12"/>
      <c r="M8" s="8">
        <v>70.0</v>
      </c>
    </row>
    <row r="9">
      <c r="A9" s="8">
        <v>8.0</v>
      </c>
      <c r="B9" s="4" t="s">
        <v>21</v>
      </c>
      <c r="C9" s="4">
        <v>50.0</v>
      </c>
      <c r="D9" s="8">
        <v>65.0</v>
      </c>
      <c r="E9" s="4">
        <v>15.0</v>
      </c>
      <c r="F9" s="4">
        <v>0.2</v>
      </c>
      <c r="G9" s="5">
        <f t="shared" si="1"/>
        <v>62</v>
      </c>
      <c r="H9" s="6" t="str">
        <f t="shared" si="4"/>
        <v>Team offer: $50M base + $15M incentives. Your model values player at $73M. Below agent valuation — potential undervalue.</v>
      </c>
      <c r="I9" s="6" t="s">
        <v>15</v>
      </c>
      <c r="J9" s="8"/>
      <c r="K9" s="10"/>
      <c r="L9" s="8"/>
      <c r="M9" s="8">
        <v>73.0</v>
      </c>
    </row>
    <row r="10">
      <c r="B10" s="8" t="s">
        <v>22</v>
      </c>
    </row>
    <row r="11">
      <c r="B11" s="8" t="s">
        <v>23</v>
      </c>
    </row>
  </sheetData>
  <dataValidations>
    <dataValidation type="list" allowBlank="1" showErrorMessage="1" sqref="I2:I9">
      <formula1>"Take,Bet,STARTING"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6.38"/>
    <col customWidth="1" min="4" max="4" width="19.38"/>
  </cols>
  <sheetData>
    <row r="1">
      <c r="A1" s="6" t="s">
        <v>1</v>
      </c>
      <c r="B1" s="6" t="s">
        <v>24</v>
      </c>
      <c r="C1" s="6" t="s">
        <v>2</v>
      </c>
      <c r="D1" s="6" t="s">
        <v>4</v>
      </c>
      <c r="E1" s="6" t="s">
        <v>25</v>
      </c>
    </row>
    <row r="2">
      <c r="A2" s="4" t="s">
        <v>14</v>
      </c>
      <c r="B2" s="4">
        <v>0.25</v>
      </c>
      <c r="C2" s="4">
        <v>75.0</v>
      </c>
      <c r="D2" s="4">
        <v>30.0</v>
      </c>
      <c r="E2" s="4" t="s">
        <v>26</v>
      </c>
    </row>
    <row r="3">
      <c r="A3" s="4" t="s">
        <v>16</v>
      </c>
      <c r="B3" s="4">
        <v>0.15</v>
      </c>
      <c r="C3" s="4">
        <v>80.0</v>
      </c>
      <c r="D3" s="4">
        <v>20.0</v>
      </c>
      <c r="E3" s="4" t="s">
        <v>27</v>
      </c>
    </row>
    <row r="4">
      <c r="A4" s="4" t="s">
        <v>17</v>
      </c>
      <c r="B4" s="4">
        <v>0.3</v>
      </c>
      <c r="C4" s="4">
        <v>55.0</v>
      </c>
      <c r="D4" s="4">
        <v>40.0</v>
      </c>
      <c r="E4" s="4" t="s">
        <v>28</v>
      </c>
    </row>
    <row r="5">
      <c r="A5" s="4" t="s">
        <v>29</v>
      </c>
      <c r="B5" s="4">
        <v>0.45</v>
      </c>
      <c r="C5" s="4">
        <v>60.0</v>
      </c>
      <c r="D5" s="4">
        <v>35.0</v>
      </c>
      <c r="E5" s="4" t="s">
        <v>30</v>
      </c>
    </row>
    <row r="6">
      <c r="A6" s="4" t="s">
        <v>19</v>
      </c>
      <c r="B6" s="4">
        <v>0.1</v>
      </c>
      <c r="C6" s="4">
        <v>110.0</v>
      </c>
      <c r="D6" s="4">
        <v>25.0</v>
      </c>
      <c r="E6" s="4" t="s">
        <v>31</v>
      </c>
    </row>
    <row r="7">
      <c r="A7" s="4" t="s">
        <v>20</v>
      </c>
      <c r="B7" s="4">
        <v>0.35</v>
      </c>
      <c r="C7" s="4">
        <v>45.0</v>
      </c>
      <c r="D7" s="4">
        <v>50.0</v>
      </c>
      <c r="E7" s="4" t="s">
        <v>32</v>
      </c>
    </row>
    <row r="8">
      <c r="A8" s="4" t="s">
        <v>18</v>
      </c>
      <c r="B8" s="4">
        <v>0.3</v>
      </c>
      <c r="C8" s="4">
        <v>65.0</v>
      </c>
      <c r="D8" s="4">
        <v>25.0</v>
      </c>
      <c r="E8" s="4" t="s">
        <v>33</v>
      </c>
    </row>
    <row r="9">
      <c r="A9" s="4" t="s">
        <v>21</v>
      </c>
      <c r="B9" s="4">
        <v>0.2</v>
      </c>
      <c r="C9" s="4">
        <v>50.0</v>
      </c>
      <c r="D9" s="4">
        <v>15.0</v>
      </c>
      <c r="E9" s="4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29.13"/>
  </cols>
  <sheetData>
    <row r="1">
      <c r="A1" s="6" t="s">
        <v>35</v>
      </c>
      <c r="B1" s="6" t="s">
        <v>36</v>
      </c>
    </row>
    <row r="2">
      <c r="A2" s="4" t="s">
        <v>37</v>
      </c>
      <c r="B2" s="13">
        <v>0.0</v>
      </c>
    </row>
    <row r="3">
      <c r="A3" s="4" t="s">
        <v>38</v>
      </c>
      <c r="B3" s="13">
        <v>0.0</v>
      </c>
    </row>
    <row r="4">
      <c r="A4" s="4" t="s">
        <v>39</v>
      </c>
      <c r="B4" s="13">
        <v>0.0</v>
      </c>
    </row>
    <row r="5">
      <c r="A5" s="4" t="s">
        <v>40</v>
      </c>
      <c r="B5" s="13">
        <v>0.0</v>
      </c>
    </row>
    <row r="6">
      <c r="A6" s="4" t="s">
        <v>41</v>
      </c>
      <c r="B6" s="4" t="s">
        <v>42</v>
      </c>
    </row>
    <row r="7">
      <c r="A7" s="4" t="s">
        <v>43</v>
      </c>
      <c r="B7" s="4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8" max="8" width="23.63"/>
  </cols>
  <sheetData>
    <row r="1">
      <c r="A1" s="3" t="s">
        <v>0</v>
      </c>
      <c r="B1" s="3" t="s">
        <v>45</v>
      </c>
      <c r="C1" s="3" t="s">
        <v>46</v>
      </c>
      <c r="D1" s="3" t="s">
        <v>47</v>
      </c>
      <c r="E1" s="3" t="s">
        <v>5</v>
      </c>
      <c r="F1" s="3" t="s">
        <v>48</v>
      </c>
      <c r="G1" s="8" t="s">
        <v>49</v>
      </c>
      <c r="H1" s="8" t="s">
        <v>50</v>
      </c>
      <c r="I1" s="3" t="s">
        <v>51</v>
      </c>
    </row>
    <row r="2">
      <c r="A2" s="14">
        <v>1.0</v>
      </c>
      <c r="B2" s="3">
        <v>0.6113625300114326</v>
      </c>
      <c r="C2" s="8">
        <v>0.3205066064821446</v>
      </c>
      <c r="D2" s="3" t="s">
        <v>52</v>
      </c>
      <c r="E2" s="15">
        <v>0.25</v>
      </c>
      <c r="F2" s="16">
        <v>30.0</v>
      </c>
      <c r="G2" s="16">
        <v>105.0</v>
      </c>
      <c r="H2" s="16">
        <v>45971.901174363426</v>
      </c>
      <c r="I2" s="3" t="s">
        <v>53</v>
      </c>
    </row>
    <row r="3">
      <c r="A3" s="14">
        <v>2.0</v>
      </c>
      <c r="B3" s="13">
        <v>0.9034564878136847</v>
      </c>
      <c r="C3" s="8">
        <v>0.309331082151159</v>
      </c>
      <c r="D3" s="8" t="s">
        <v>52</v>
      </c>
      <c r="E3" s="15">
        <v>0.15</v>
      </c>
      <c r="F3" s="17">
        <v>20.0</v>
      </c>
      <c r="G3" s="17">
        <v>100.0</v>
      </c>
      <c r="H3" s="17">
        <v>45971.90228684028</v>
      </c>
      <c r="I3" s="8" t="s">
        <v>53</v>
      </c>
    </row>
    <row r="4">
      <c r="A4" s="14">
        <v>3.0</v>
      </c>
      <c r="B4" s="13">
        <v>0.8386918792077797</v>
      </c>
      <c r="C4" s="8">
        <v>0.7843197954478708</v>
      </c>
      <c r="D4" s="8" t="s">
        <v>52</v>
      </c>
      <c r="E4" s="15">
        <v>0.3</v>
      </c>
      <c r="F4" s="17">
        <v>40.0</v>
      </c>
      <c r="G4" s="17">
        <v>95.0</v>
      </c>
      <c r="H4" s="17">
        <v>45971.90230731481</v>
      </c>
      <c r="I4" s="8" t="s">
        <v>53</v>
      </c>
    </row>
    <row r="5">
      <c r="A5" s="14">
        <v>4.0</v>
      </c>
      <c r="B5" s="4">
        <v>0.35151868447594425</v>
      </c>
      <c r="C5" s="8">
        <v>0.8447648944889108</v>
      </c>
      <c r="D5" s="8" t="s">
        <v>54</v>
      </c>
      <c r="E5" s="15">
        <v>0.4</v>
      </c>
      <c r="F5" s="17">
        <v>0.0</v>
      </c>
      <c r="G5" s="17">
        <v>50.0</v>
      </c>
      <c r="H5" s="17">
        <v>45971.902331006946</v>
      </c>
      <c r="I5" s="8" t="s">
        <v>53</v>
      </c>
    </row>
    <row r="6">
      <c r="A6" s="14">
        <v>5.0</v>
      </c>
      <c r="B6" s="13">
        <v>0.1319483073761939</v>
      </c>
      <c r="C6" s="15">
        <v>0.1779261622745254</v>
      </c>
      <c r="D6" s="8" t="s">
        <v>52</v>
      </c>
      <c r="E6" s="15">
        <v>0.1</v>
      </c>
      <c r="F6" s="15">
        <v>25.0</v>
      </c>
      <c r="G6" s="15">
        <v>135.0</v>
      </c>
      <c r="H6" s="17">
        <v>45971.90234018519</v>
      </c>
      <c r="I6" s="8" t="s">
        <v>53</v>
      </c>
    </row>
    <row r="7">
      <c r="A7" s="4">
        <v>6.0</v>
      </c>
      <c r="B7" s="13">
        <v>0.6709960498470181</v>
      </c>
      <c r="C7" s="15">
        <v>0.8252009501278449</v>
      </c>
      <c r="D7" s="8" t="s">
        <v>52</v>
      </c>
      <c r="E7" s="15">
        <v>0.35</v>
      </c>
      <c r="F7" s="15">
        <v>50.0</v>
      </c>
      <c r="G7" s="15">
        <v>95.0</v>
      </c>
      <c r="H7" s="17">
        <v>45971.90238141204</v>
      </c>
      <c r="I7" s="8" t="s">
        <v>53</v>
      </c>
    </row>
    <row r="8">
      <c r="A8" s="4">
        <v>7.0</v>
      </c>
      <c r="B8" s="13">
        <v>0.24577565784843047</v>
      </c>
      <c r="C8" s="15">
        <v>0.1924730441587963</v>
      </c>
      <c r="D8" s="8" t="s">
        <v>54</v>
      </c>
      <c r="E8" s="15">
        <v>0.3</v>
      </c>
      <c r="F8" s="15">
        <v>0.0</v>
      </c>
      <c r="G8" s="15">
        <v>65.0</v>
      </c>
      <c r="H8" s="17">
        <v>45971.90262140046</v>
      </c>
      <c r="I8" s="8" t="s">
        <v>53</v>
      </c>
    </row>
    <row r="9">
      <c r="A9" s="4">
        <v>8.0</v>
      </c>
      <c r="B9" s="13">
        <v>0.8187553151656742</v>
      </c>
      <c r="C9" s="15">
        <v>0.6516007000366227</v>
      </c>
      <c r="D9" s="8" t="s">
        <v>52</v>
      </c>
      <c r="E9" s="15">
        <v>0.2</v>
      </c>
      <c r="F9" s="15">
        <v>15.0</v>
      </c>
      <c r="G9" s="15">
        <v>65.0</v>
      </c>
      <c r="H9" s="17">
        <v>45971.90265613426</v>
      </c>
      <c r="I9" s="8" t="s">
        <v>53</v>
      </c>
    </row>
    <row r="10">
      <c r="A10" s="4"/>
      <c r="B10" s="4"/>
    </row>
  </sheetData>
  <drawing r:id="rId1"/>
</worksheet>
</file>